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ashleyjohnston/Documents/Claude/Projects/endocrine/logistics/"/>
    </mc:Choice>
  </mc:AlternateContent>
  <xr:revisionPtr revIDLastSave="0" documentId="13_ncr:1_{A0128592-CC1C-F845-AEF6-77F7BBD5E936}" xr6:coauthVersionLast="47" xr6:coauthVersionMax="47" xr10:uidLastSave="{00000000-0000-0000-0000-000000000000}"/>
  <bookViews>
    <workbookView xWindow="0" yWindow="760" windowWidth="20420" windowHeight="17440" xr2:uid="{00000000-000D-0000-FFFF-FFFF00000000}"/>
  </bookViews>
  <sheets>
    <sheet name="Endocrine Check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  <c r="B30" i="1"/>
  <c r="F29" i="1"/>
  <c r="B29" i="1"/>
  <c r="F28" i="1"/>
  <c r="B28" i="1"/>
  <c r="F27" i="1"/>
  <c r="B27" i="1"/>
  <c r="F26" i="1"/>
  <c r="B26" i="1"/>
  <c r="F25" i="1"/>
  <c r="B25" i="1"/>
  <c r="F24" i="1"/>
  <c r="B24" i="1"/>
  <c r="F23" i="1"/>
  <c r="B23" i="1"/>
  <c r="F22" i="1"/>
  <c r="B22" i="1"/>
  <c r="F21" i="1"/>
  <c r="B21" i="1"/>
  <c r="F20" i="1"/>
  <c r="B20" i="1"/>
  <c r="F19" i="1"/>
  <c r="B19" i="1"/>
  <c r="F18" i="1"/>
  <c r="B18" i="1"/>
  <c r="F17" i="1"/>
  <c r="B17" i="1"/>
  <c r="F16" i="1"/>
  <c r="B16" i="1"/>
  <c r="F15" i="1"/>
  <c r="B15" i="1"/>
  <c r="F14" i="1"/>
  <c r="B14" i="1"/>
  <c r="F13" i="1"/>
  <c r="B13" i="1"/>
  <c r="F12" i="1"/>
  <c r="B12" i="1"/>
  <c r="F11" i="1"/>
  <c r="B11" i="1"/>
  <c r="F10" i="1"/>
  <c r="B10" i="1"/>
  <c r="F9" i="1"/>
  <c r="B9" i="1"/>
  <c r="F8" i="1"/>
  <c r="B8" i="1"/>
  <c r="F7" i="1"/>
  <c r="B7" i="1"/>
  <c r="F6" i="1"/>
  <c r="B6" i="1"/>
  <c r="F5" i="1"/>
  <c r="B5" i="1"/>
</calcChain>
</file>

<file path=xl/sharedStrings.xml><?xml version="1.0" encoding="utf-8"?>
<sst xmlns="http://schemas.openxmlformats.org/spreadsheetml/2006/main" count="169" uniqueCount="80">
  <si>
    <t>Endocrine Lecture Schedule - Spring 2026</t>
  </si>
  <si>
    <t>Week and day are formula-driven from the lecture date. End times are inferred from the calendar structure because the PDF listed lecture start times only.</t>
  </si>
  <si>
    <t>Item #</t>
  </si>
  <si>
    <t>Block</t>
  </si>
  <si>
    <t>Week</t>
  </si>
  <si>
    <t>Date</t>
  </si>
  <si>
    <t>Day</t>
  </si>
  <si>
    <t>Start Time</t>
  </si>
  <si>
    <t>End Time</t>
  </si>
  <si>
    <t>Course</t>
  </si>
  <si>
    <t>Session Title</t>
  </si>
  <si>
    <t>Type</t>
  </si>
  <si>
    <t>endo</t>
  </si>
  <si>
    <t>Bioch</t>
  </si>
  <si>
    <t>Module Introduction/Introduction to Hormones</t>
  </si>
  <si>
    <t>Session</t>
  </si>
  <si>
    <t>Phys</t>
  </si>
  <si>
    <t>Hypothalamic Pituitary Hormone Relationships I</t>
  </si>
  <si>
    <t>Hypothalamic Pituitary Hormone Relationships II</t>
  </si>
  <si>
    <t>Biochem</t>
  </si>
  <si>
    <t>IL - Adrenal Hormone Synthesis and Action</t>
  </si>
  <si>
    <t>IL - Sex Steroid Synthesis and Action</t>
  </si>
  <si>
    <t>Mandatory - Adrenal and Sex Steroid Hormone Synthesis &amp; Action</t>
  </si>
  <si>
    <t>Mandatory</t>
  </si>
  <si>
    <t>Posterior Pituitary Hormones</t>
  </si>
  <si>
    <t>Path</t>
  </si>
  <si>
    <t>Pituitary Pathology</t>
  </si>
  <si>
    <t>Hist</t>
  </si>
  <si>
    <t>Thyroid/Parathyroid/Adrenal</t>
  </si>
  <si>
    <t>Thyroid Hormone Synthesis and Action</t>
  </si>
  <si>
    <t>Thyroid and Parathyroid Pathology</t>
  </si>
  <si>
    <t>Pancreatic Hormone Synthesis, Action and Regulation</t>
  </si>
  <si>
    <t>Diagnosis and Treatment of Pituitary and Thyroid Disorders</t>
  </si>
  <si>
    <t>Mandatory TBL - Growth and Thyroid Hormones CCS</t>
  </si>
  <si>
    <t>Mandatory - Endocrinology, Gender Identity &amp; Ethics Panel Discussion</t>
  </si>
  <si>
    <t>Pathophysiology of Diabetes Mellitus</t>
  </si>
  <si>
    <t>Diabetes Type 1 Diagnosis and Treatment</t>
  </si>
  <si>
    <t>Diabetes Type 2 Diagnosis and Treatment</t>
  </si>
  <si>
    <t>Hypothalamic-Pituitary-Adrenal Axis</t>
  </si>
  <si>
    <t>Adrenal Pathology</t>
  </si>
  <si>
    <t>Diagnosis and Treatment of Adrenal Disorders</t>
  </si>
  <si>
    <t>Mandatory - Case Discussion: Pituitary &amp; Thyroid Disorders</t>
  </si>
  <si>
    <t>Integrated Learning Session: Stress, Stress Hormones &amp; Pathophysiology Integration</t>
  </si>
  <si>
    <t>Endocrine Lab</t>
  </si>
  <si>
    <t>Diabetes Clinical Cases</t>
  </si>
  <si>
    <t>Mandatory - Longitudinal Case Wrap-Up</t>
  </si>
  <si>
    <t>DRT, Pharm</t>
  </si>
  <si>
    <t>Phys, Bioch</t>
  </si>
  <si>
    <t>Week 3</t>
  </si>
  <si>
    <t>Week 4</t>
  </si>
  <si>
    <t>Week 6</t>
  </si>
  <si>
    <t>Week 7</t>
  </si>
  <si>
    <t>Week 8</t>
  </si>
  <si>
    <t>end01</t>
  </si>
  <si>
    <t>end02</t>
  </si>
  <si>
    <t>end03</t>
  </si>
  <si>
    <t>end04</t>
  </si>
  <si>
    <t>end05</t>
  </si>
  <si>
    <t>end06</t>
  </si>
  <si>
    <t>end07</t>
  </si>
  <si>
    <t>end08</t>
  </si>
  <si>
    <t>end09</t>
  </si>
  <si>
    <t>end10</t>
  </si>
  <si>
    <t>end11</t>
  </si>
  <si>
    <t>end12</t>
  </si>
  <si>
    <t>end13</t>
  </si>
  <si>
    <t>end14</t>
  </si>
  <si>
    <t>end15</t>
  </si>
  <si>
    <t>end16</t>
  </si>
  <si>
    <t>end17</t>
  </si>
  <si>
    <t>end18</t>
  </si>
  <si>
    <t>end19</t>
  </si>
  <si>
    <t>end20</t>
  </si>
  <si>
    <t>end21</t>
  </si>
  <si>
    <t>end22</t>
  </si>
  <si>
    <t>end23</t>
  </si>
  <si>
    <t>end24</t>
  </si>
  <si>
    <t>end25</t>
  </si>
  <si>
    <t>end26</t>
  </si>
  <si>
    <t>ID#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</si>
</sst>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0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i/>
      <sz val="9"/>
      <color rgb="FF666666"/>
      <name val="Calibri"/>
      <family val="2"/>
    </font>
    <font>
      <b/>
      <sz val="9"/>
      <name val="Calibri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1F1F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E2F0D9"/>
      </patternFill>
    </fill>
    <fill>
      <patternFill patternType="solid">
        <fgColor rgb="FFFFC000"/>
        <bgColor indexed="64"/>
      </patternFill>
    </fill>
    <fill>
      <patternFill patternType="solid">
        <fgColor rgb="FFFFF7D6"/>
      </patternFill>
    </fill>
    <fill>
      <patternFill patternType="solid">
        <fgColor rgb="FFFFF7D6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8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164" fontId="3" fillId="9" borderId="1" xfId="0" applyNumberFormat="1" applyFont="1" applyFill="1" applyBorder="1" applyAlignment="1">
      <alignment horizontal="center" vertical="center"/>
    </xf>
    <xf numFmtId="18" fontId="3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7D6"/>
      <color rgb="FFF7E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topLeftCell="B1" zoomScale="157" zoomScaleNormal="100" workbookViewId="0">
      <selection activeCell="I31" sqref="I31"/>
    </sheetView>
  </sheetViews>
  <sheetFormatPr baseColWidth="10" defaultColWidth="8.83203125" defaultRowHeight="15" x14ac:dyDescent="0.2"/>
  <cols>
    <col min="2" max="2" width="6.1640625" customWidth="1"/>
    <col min="3" max="3" width="8" customWidth="1"/>
    <col min="4" max="4" width="8.83203125" customWidth="1"/>
    <col min="5" max="5" width="10" customWidth="1"/>
    <col min="6" max="6" width="6" customWidth="1"/>
    <col min="7" max="8" width="10" customWidth="1"/>
    <col min="9" max="9" width="12" customWidth="1"/>
    <col min="10" max="10" width="72" customWidth="1"/>
    <col min="11" max="11" width="12" customWidth="1"/>
  </cols>
  <sheetData>
    <row r="1" spans="1:11" ht="21" x14ac:dyDescent="0.2">
      <c r="B1" s="16" t="s">
        <v>0</v>
      </c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">
      <c r="B2" s="18" t="s">
        <v>1</v>
      </c>
      <c r="C2" s="17"/>
      <c r="D2" s="17"/>
      <c r="E2" s="17"/>
      <c r="F2" s="17"/>
      <c r="G2" s="17"/>
      <c r="H2" s="17"/>
      <c r="I2" s="17"/>
      <c r="J2" s="17"/>
      <c r="K2" s="17"/>
    </row>
    <row r="4" spans="1:11" x14ac:dyDescent="0.2">
      <c r="A4" t="s">
        <v>79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" t="s">
        <v>10</v>
      </c>
      <c r="K4" s="1" t="s">
        <v>11</v>
      </c>
    </row>
    <row r="5" spans="1:11" x14ac:dyDescent="0.2">
      <c r="A5" t="s">
        <v>53</v>
      </c>
      <c r="B5" s="3">
        <f t="shared" ref="B5:B30" si="0">ROW()-4</f>
        <v>1</v>
      </c>
      <c r="C5" s="10" t="s">
        <v>12</v>
      </c>
      <c r="D5" s="7" t="s">
        <v>48</v>
      </c>
      <c r="E5" s="4">
        <v>46132</v>
      </c>
      <c r="F5" s="3" t="str">
        <f t="shared" ref="F5:F30" si="1">IF(E5="","",TEXT(E5,"ddd"))</f>
        <v>Mon</v>
      </c>
      <c r="G5" s="5">
        <v>0.375</v>
      </c>
      <c r="H5" s="5">
        <v>0.41666666666666669</v>
      </c>
      <c r="I5" s="3" t="s">
        <v>13</v>
      </c>
      <c r="J5" s="6" t="s">
        <v>14</v>
      </c>
      <c r="K5" s="3" t="s">
        <v>15</v>
      </c>
    </row>
    <row r="6" spans="1:11" x14ac:dyDescent="0.2">
      <c r="A6" t="s">
        <v>54</v>
      </c>
      <c r="B6" s="3">
        <f t="shared" si="0"/>
        <v>2</v>
      </c>
      <c r="C6" s="10" t="s">
        <v>12</v>
      </c>
      <c r="D6" s="7" t="s">
        <v>48</v>
      </c>
      <c r="E6" s="4">
        <v>46132</v>
      </c>
      <c r="F6" s="3" t="str">
        <f t="shared" si="1"/>
        <v>Mon</v>
      </c>
      <c r="G6" s="5">
        <v>0.41666666666666669</v>
      </c>
      <c r="H6" s="5">
        <v>0.45833333333333331</v>
      </c>
      <c r="I6" s="3" t="s">
        <v>16</v>
      </c>
      <c r="J6" s="6" t="s">
        <v>17</v>
      </c>
      <c r="K6" s="3" t="s">
        <v>15</v>
      </c>
    </row>
    <row r="7" spans="1:11" x14ac:dyDescent="0.2">
      <c r="A7" t="s">
        <v>55</v>
      </c>
      <c r="B7" s="3">
        <f t="shared" si="0"/>
        <v>3</v>
      </c>
      <c r="C7" s="10" t="s">
        <v>12</v>
      </c>
      <c r="D7" s="7" t="s">
        <v>48</v>
      </c>
      <c r="E7" s="4">
        <v>46134</v>
      </c>
      <c r="F7" s="3" t="str">
        <f t="shared" si="1"/>
        <v>Wed</v>
      </c>
      <c r="G7" s="5">
        <v>0.45833333333333331</v>
      </c>
      <c r="H7" s="5">
        <v>0.5</v>
      </c>
      <c r="I7" s="3" t="s">
        <v>16</v>
      </c>
      <c r="J7" s="6" t="s">
        <v>18</v>
      </c>
      <c r="K7" s="3" t="s">
        <v>15</v>
      </c>
    </row>
    <row r="8" spans="1:11" x14ac:dyDescent="0.2">
      <c r="A8" t="s">
        <v>56</v>
      </c>
      <c r="B8" s="3">
        <f t="shared" si="0"/>
        <v>4</v>
      </c>
      <c r="C8" s="10" t="s">
        <v>12</v>
      </c>
      <c r="D8" s="7" t="s">
        <v>48</v>
      </c>
      <c r="E8" s="4">
        <v>46135</v>
      </c>
      <c r="F8" s="3" t="str">
        <f t="shared" si="1"/>
        <v>Thu</v>
      </c>
      <c r="G8" s="5">
        <v>0.375</v>
      </c>
      <c r="H8" s="5">
        <v>0.39583333333333331</v>
      </c>
      <c r="I8" s="3" t="s">
        <v>19</v>
      </c>
      <c r="J8" s="6" t="s">
        <v>20</v>
      </c>
      <c r="K8" s="3" t="s">
        <v>15</v>
      </c>
    </row>
    <row r="9" spans="1:11" x14ac:dyDescent="0.2">
      <c r="A9" t="s">
        <v>57</v>
      </c>
      <c r="B9" s="3">
        <f t="shared" si="0"/>
        <v>5</v>
      </c>
      <c r="C9" s="10" t="s">
        <v>12</v>
      </c>
      <c r="D9" s="7" t="s">
        <v>48</v>
      </c>
      <c r="E9" s="4">
        <v>46135</v>
      </c>
      <c r="F9" s="3" t="str">
        <f t="shared" si="1"/>
        <v>Thu</v>
      </c>
      <c r="G9" s="5">
        <v>0.39583333333333331</v>
      </c>
      <c r="H9" s="5">
        <v>0.41666666666666669</v>
      </c>
      <c r="I9" s="3" t="s">
        <v>19</v>
      </c>
      <c r="J9" s="6" t="s">
        <v>21</v>
      </c>
      <c r="K9" s="3" t="s">
        <v>15</v>
      </c>
    </row>
    <row r="10" spans="1:11" x14ac:dyDescent="0.2">
      <c r="A10" t="s">
        <v>58</v>
      </c>
      <c r="B10" s="12">
        <f t="shared" si="0"/>
        <v>6</v>
      </c>
      <c r="C10" s="10" t="s">
        <v>12</v>
      </c>
      <c r="D10" s="7" t="s">
        <v>48</v>
      </c>
      <c r="E10" s="13">
        <v>46136</v>
      </c>
      <c r="F10" s="12" t="str">
        <f t="shared" si="1"/>
        <v>Fri</v>
      </c>
      <c r="G10" s="14">
        <v>0.41666666666666669</v>
      </c>
      <c r="H10" s="14">
        <v>0.45833333333333331</v>
      </c>
      <c r="I10" s="12" t="s">
        <v>19</v>
      </c>
      <c r="J10" s="15" t="s">
        <v>22</v>
      </c>
      <c r="K10" s="11" t="s">
        <v>23</v>
      </c>
    </row>
    <row r="11" spans="1:11" x14ac:dyDescent="0.2">
      <c r="A11" t="s">
        <v>59</v>
      </c>
      <c r="B11" s="3">
        <f t="shared" si="0"/>
        <v>7</v>
      </c>
      <c r="C11" s="10" t="s">
        <v>12</v>
      </c>
      <c r="D11" s="8" t="s">
        <v>49</v>
      </c>
      <c r="E11" s="4">
        <v>46140</v>
      </c>
      <c r="F11" s="3" t="str">
        <f t="shared" si="1"/>
        <v>Tue</v>
      </c>
      <c r="G11" s="5">
        <v>0.41666666666666669</v>
      </c>
      <c r="H11" s="5">
        <v>0.45833333333333331</v>
      </c>
      <c r="I11" s="3" t="s">
        <v>47</v>
      </c>
      <c r="J11" s="6" t="s">
        <v>24</v>
      </c>
      <c r="K11" s="3" t="s">
        <v>15</v>
      </c>
    </row>
    <row r="12" spans="1:11" x14ac:dyDescent="0.2">
      <c r="A12" t="s">
        <v>60</v>
      </c>
      <c r="B12" s="3">
        <f t="shared" si="0"/>
        <v>8</v>
      </c>
      <c r="C12" s="10" t="s">
        <v>12</v>
      </c>
      <c r="D12" s="8" t="s">
        <v>49</v>
      </c>
      <c r="E12" s="4">
        <v>46141</v>
      </c>
      <c r="F12" s="3" t="str">
        <f t="shared" si="1"/>
        <v>Wed</v>
      </c>
      <c r="G12" s="5">
        <v>0.375</v>
      </c>
      <c r="H12" s="5">
        <v>0.41666666666666669</v>
      </c>
      <c r="I12" s="3" t="s">
        <v>25</v>
      </c>
      <c r="J12" s="6" t="s">
        <v>26</v>
      </c>
      <c r="K12" s="3" t="s">
        <v>15</v>
      </c>
    </row>
    <row r="13" spans="1:11" x14ac:dyDescent="0.2">
      <c r="A13" t="s">
        <v>61</v>
      </c>
      <c r="B13" s="3">
        <f t="shared" si="0"/>
        <v>9</v>
      </c>
      <c r="C13" s="10" t="s">
        <v>12</v>
      </c>
      <c r="D13" s="8" t="s">
        <v>49</v>
      </c>
      <c r="E13" s="4">
        <v>46154</v>
      </c>
      <c r="F13" s="3" t="str">
        <f t="shared" si="1"/>
        <v>Tue</v>
      </c>
      <c r="G13" s="5">
        <v>0.41666666666666669</v>
      </c>
      <c r="H13" s="5">
        <v>0.45833333333333331</v>
      </c>
      <c r="I13" s="3" t="s">
        <v>27</v>
      </c>
      <c r="J13" s="6" t="s">
        <v>28</v>
      </c>
      <c r="K13" s="3" t="s">
        <v>15</v>
      </c>
    </row>
    <row r="14" spans="1:11" x14ac:dyDescent="0.2">
      <c r="A14" t="s">
        <v>62</v>
      </c>
      <c r="B14" s="3">
        <f t="shared" si="0"/>
        <v>10</v>
      </c>
      <c r="C14" s="10" t="s">
        <v>12</v>
      </c>
      <c r="D14" s="9" t="s">
        <v>50</v>
      </c>
      <c r="E14" s="4">
        <v>46154</v>
      </c>
      <c r="F14" s="3" t="str">
        <f t="shared" si="1"/>
        <v>Tue</v>
      </c>
      <c r="G14" s="5">
        <v>0.45833333333333331</v>
      </c>
      <c r="H14" s="5">
        <v>0.5</v>
      </c>
      <c r="I14" s="3" t="s">
        <v>13</v>
      </c>
      <c r="J14" s="6" t="s">
        <v>29</v>
      </c>
      <c r="K14" s="3" t="s">
        <v>15</v>
      </c>
    </row>
    <row r="15" spans="1:11" x14ac:dyDescent="0.2">
      <c r="A15" t="s">
        <v>63</v>
      </c>
      <c r="B15" s="3">
        <f t="shared" si="0"/>
        <v>11</v>
      </c>
      <c r="C15" s="10" t="s">
        <v>12</v>
      </c>
      <c r="D15" s="9" t="s">
        <v>50</v>
      </c>
      <c r="E15" s="4">
        <v>46155</v>
      </c>
      <c r="F15" s="3" t="str">
        <f t="shared" si="1"/>
        <v>Wed</v>
      </c>
      <c r="G15" s="5">
        <v>0.41666666666666669</v>
      </c>
      <c r="H15" s="5">
        <v>0.45833333333333331</v>
      </c>
      <c r="I15" s="3" t="s">
        <v>25</v>
      </c>
      <c r="J15" s="6" t="s">
        <v>30</v>
      </c>
      <c r="K15" s="3" t="s">
        <v>15</v>
      </c>
    </row>
    <row r="16" spans="1:11" x14ac:dyDescent="0.2">
      <c r="A16" t="s">
        <v>64</v>
      </c>
      <c r="B16" s="3">
        <f t="shared" si="0"/>
        <v>12</v>
      </c>
      <c r="C16" s="10" t="s">
        <v>12</v>
      </c>
      <c r="D16" s="9" t="s">
        <v>50</v>
      </c>
      <c r="E16" s="4">
        <v>46156</v>
      </c>
      <c r="F16" s="3" t="str">
        <f t="shared" si="1"/>
        <v>Thu</v>
      </c>
      <c r="G16" s="5">
        <v>0.375</v>
      </c>
      <c r="H16" s="5">
        <v>0.41666666666666669</v>
      </c>
      <c r="I16" s="3" t="s">
        <v>47</v>
      </c>
      <c r="J16" s="6" t="s">
        <v>31</v>
      </c>
      <c r="K16" s="3" t="s">
        <v>15</v>
      </c>
    </row>
    <row r="17" spans="1:11" x14ac:dyDescent="0.2">
      <c r="A17" t="s">
        <v>65</v>
      </c>
      <c r="B17" s="3">
        <f t="shared" si="0"/>
        <v>13</v>
      </c>
      <c r="C17" s="10" t="s">
        <v>12</v>
      </c>
      <c r="D17" s="9" t="s">
        <v>50</v>
      </c>
      <c r="E17" s="4">
        <v>46156</v>
      </c>
      <c r="F17" s="3" t="str">
        <f t="shared" si="1"/>
        <v>Thu</v>
      </c>
      <c r="G17" s="5">
        <v>0.41666666666666669</v>
      </c>
      <c r="H17" s="5">
        <v>0.45833333333333331</v>
      </c>
      <c r="I17" s="3" t="s">
        <v>46</v>
      </c>
      <c r="J17" s="6" t="s">
        <v>32</v>
      </c>
      <c r="K17" s="3" t="s">
        <v>15</v>
      </c>
    </row>
    <row r="18" spans="1:11" x14ac:dyDescent="0.2">
      <c r="A18" t="s">
        <v>66</v>
      </c>
      <c r="B18" s="12">
        <f t="shared" si="0"/>
        <v>14</v>
      </c>
      <c r="C18" s="10" t="s">
        <v>12</v>
      </c>
      <c r="D18" s="9" t="s">
        <v>50</v>
      </c>
      <c r="E18" s="13">
        <v>46157</v>
      </c>
      <c r="F18" s="12" t="str">
        <f t="shared" si="1"/>
        <v>Fri</v>
      </c>
      <c r="G18" s="14">
        <v>0.41666666666666669</v>
      </c>
      <c r="H18" s="14">
        <v>0.45833333333333331</v>
      </c>
      <c r="I18" s="12" t="s">
        <v>16</v>
      </c>
      <c r="J18" s="15" t="s">
        <v>33</v>
      </c>
      <c r="K18" s="11" t="s">
        <v>23</v>
      </c>
    </row>
    <row r="19" spans="1:11" x14ac:dyDescent="0.2">
      <c r="A19" t="s">
        <v>67</v>
      </c>
      <c r="B19" s="12">
        <f t="shared" si="0"/>
        <v>15</v>
      </c>
      <c r="C19" s="10" t="s">
        <v>12</v>
      </c>
      <c r="D19" s="7" t="s">
        <v>51</v>
      </c>
      <c r="E19" s="13">
        <v>46160</v>
      </c>
      <c r="F19" s="12" t="str">
        <f t="shared" si="1"/>
        <v>Mon</v>
      </c>
      <c r="G19" s="14">
        <v>0.54166666666666663</v>
      </c>
      <c r="H19" s="14">
        <v>0.625</v>
      </c>
      <c r="I19" s="12" t="s">
        <v>13</v>
      </c>
      <c r="J19" s="15" t="s">
        <v>34</v>
      </c>
      <c r="K19" s="11" t="s">
        <v>23</v>
      </c>
    </row>
    <row r="20" spans="1:11" x14ac:dyDescent="0.2">
      <c r="A20" t="s">
        <v>68</v>
      </c>
      <c r="B20" s="3">
        <f t="shared" si="0"/>
        <v>16</v>
      </c>
      <c r="C20" s="10" t="s">
        <v>12</v>
      </c>
      <c r="D20" s="7" t="s">
        <v>51</v>
      </c>
      <c r="E20" s="4">
        <v>46161</v>
      </c>
      <c r="F20" s="3" t="str">
        <f t="shared" si="1"/>
        <v>Tue</v>
      </c>
      <c r="G20" s="5">
        <v>0.375</v>
      </c>
      <c r="H20" s="5">
        <v>0.41666666666666669</v>
      </c>
      <c r="I20" s="3" t="s">
        <v>25</v>
      </c>
      <c r="J20" s="6" t="s">
        <v>35</v>
      </c>
      <c r="K20" s="3" t="s">
        <v>15</v>
      </c>
    </row>
    <row r="21" spans="1:11" x14ac:dyDescent="0.2">
      <c r="A21" t="s">
        <v>69</v>
      </c>
      <c r="B21" s="3">
        <f t="shared" si="0"/>
        <v>17</v>
      </c>
      <c r="C21" s="10" t="s">
        <v>12</v>
      </c>
      <c r="D21" s="7" t="s">
        <v>51</v>
      </c>
      <c r="E21" s="4">
        <v>46161</v>
      </c>
      <c r="F21" s="3" t="str">
        <f t="shared" si="1"/>
        <v>Tue</v>
      </c>
      <c r="G21" s="5">
        <v>0.41666666666666669</v>
      </c>
      <c r="H21" s="5">
        <v>0.45833333333333331</v>
      </c>
      <c r="I21" s="3" t="s">
        <v>46</v>
      </c>
      <c r="J21" s="6" t="s">
        <v>36</v>
      </c>
      <c r="K21" s="3" t="s">
        <v>15</v>
      </c>
    </row>
    <row r="22" spans="1:11" x14ac:dyDescent="0.2">
      <c r="A22" t="s">
        <v>70</v>
      </c>
      <c r="B22" s="3">
        <f t="shared" si="0"/>
        <v>18</v>
      </c>
      <c r="C22" s="10" t="s">
        <v>12</v>
      </c>
      <c r="D22" s="7" t="s">
        <v>51</v>
      </c>
      <c r="E22" s="4">
        <v>46161</v>
      </c>
      <c r="F22" s="3" t="str">
        <f t="shared" si="1"/>
        <v>Tue</v>
      </c>
      <c r="G22" s="5">
        <v>0.45833333333333331</v>
      </c>
      <c r="H22" s="5">
        <v>0.5</v>
      </c>
      <c r="I22" s="3" t="s">
        <v>46</v>
      </c>
      <c r="J22" s="6" t="s">
        <v>37</v>
      </c>
      <c r="K22" s="3" t="s">
        <v>15</v>
      </c>
    </row>
    <row r="23" spans="1:11" x14ac:dyDescent="0.2">
      <c r="A23" t="s">
        <v>71</v>
      </c>
      <c r="B23" s="3">
        <f t="shared" si="0"/>
        <v>19</v>
      </c>
      <c r="C23" s="10" t="s">
        <v>12</v>
      </c>
      <c r="D23" s="7" t="s">
        <v>51</v>
      </c>
      <c r="E23" s="4">
        <v>46162</v>
      </c>
      <c r="F23" s="3" t="str">
        <f t="shared" si="1"/>
        <v>Wed</v>
      </c>
      <c r="G23" s="5">
        <v>0.41666666666666669</v>
      </c>
      <c r="H23" s="5">
        <v>0.45833333333333331</v>
      </c>
      <c r="I23" s="3" t="s">
        <v>16</v>
      </c>
      <c r="J23" s="6" t="s">
        <v>38</v>
      </c>
      <c r="K23" s="3" t="s">
        <v>15</v>
      </c>
    </row>
    <row r="24" spans="1:11" x14ac:dyDescent="0.2">
      <c r="A24" t="s">
        <v>72</v>
      </c>
      <c r="B24" s="3">
        <f t="shared" si="0"/>
        <v>20</v>
      </c>
      <c r="C24" s="10" t="s">
        <v>12</v>
      </c>
      <c r="D24" s="7" t="s">
        <v>51</v>
      </c>
      <c r="E24" s="4">
        <v>46162</v>
      </c>
      <c r="F24" s="3" t="str">
        <f t="shared" si="1"/>
        <v>Wed</v>
      </c>
      <c r="G24" s="5">
        <v>0.45833333333333331</v>
      </c>
      <c r="H24" s="5">
        <v>0.5</v>
      </c>
      <c r="I24" s="3" t="s">
        <v>25</v>
      </c>
      <c r="J24" s="6" t="s">
        <v>39</v>
      </c>
      <c r="K24" s="3" t="s">
        <v>15</v>
      </c>
    </row>
    <row r="25" spans="1:11" x14ac:dyDescent="0.2">
      <c r="A25" t="s">
        <v>73</v>
      </c>
      <c r="B25" s="3">
        <f t="shared" si="0"/>
        <v>21</v>
      </c>
      <c r="C25" s="10" t="s">
        <v>12</v>
      </c>
      <c r="D25" s="7" t="s">
        <v>51</v>
      </c>
      <c r="E25" s="4">
        <v>46162</v>
      </c>
      <c r="F25" s="3" t="str">
        <f t="shared" si="1"/>
        <v>Wed</v>
      </c>
      <c r="G25" s="5">
        <v>0.54166666666666663</v>
      </c>
      <c r="H25" s="5">
        <v>0.60416666666666663</v>
      </c>
      <c r="I25" s="3" t="s">
        <v>46</v>
      </c>
      <c r="J25" s="6" t="s">
        <v>40</v>
      </c>
      <c r="K25" s="3" t="s">
        <v>15</v>
      </c>
    </row>
    <row r="26" spans="1:11" x14ac:dyDescent="0.2">
      <c r="A26" t="s">
        <v>74</v>
      </c>
      <c r="B26" s="12">
        <f t="shared" si="0"/>
        <v>22</v>
      </c>
      <c r="C26" s="10" t="s">
        <v>12</v>
      </c>
      <c r="D26" s="7" t="s">
        <v>51</v>
      </c>
      <c r="E26" s="13">
        <v>46164</v>
      </c>
      <c r="F26" s="12" t="str">
        <f t="shared" si="1"/>
        <v>Fri</v>
      </c>
      <c r="G26" s="14">
        <v>0.41666666666666669</v>
      </c>
      <c r="H26" s="14">
        <v>0.45833333333333331</v>
      </c>
      <c r="I26" s="12" t="s">
        <v>46</v>
      </c>
      <c r="J26" s="15" t="s">
        <v>41</v>
      </c>
      <c r="K26" s="11" t="s">
        <v>23</v>
      </c>
    </row>
    <row r="27" spans="1:11" x14ac:dyDescent="0.2">
      <c r="A27" t="s">
        <v>75</v>
      </c>
      <c r="B27" s="3">
        <f t="shared" si="0"/>
        <v>23</v>
      </c>
      <c r="C27" s="10" t="s">
        <v>12</v>
      </c>
      <c r="D27" s="8" t="s">
        <v>52</v>
      </c>
      <c r="E27" s="4">
        <v>46169</v>
      </c>
      <c r="F27" s="3" t="str">
        <f t="shared" si="1"/>
        <v>Wed</v>
      </c>
      <c r="G27" s="5">
        <v>0.54166666666666663</v>
      </c>
      <c r="H27" s="5">
        <v>0.60416666666666663</v>
      </c>
      <c r="I27" s="3" t="s">
        <v>16</v>
      </c>
      <c r="J27" s="6" t="s">
        <v>42</v>
      </c>
      <c r="K27" s="3" t="s">
        <v>15</v>
      </c>
    </row>
    <row r="28" spans="1:11" x14ac:dyDescent="0.2">
      <c r="A28" t="s">
        <v>76</v>
      </c>
      <c r="B28" s="3">
        <f t="shared" si="0"/>
        <v>24</v>
      </c>
      <c r="C28" s="10" t="s">
        <v>12</v>
      </c>
      <c r="D28" s="8" t="s">
        <v>52</v>
      </c>
      <c r="E28" s="4">
        <v>46170</v>
      </c>
      <c r="F28" s="3" t="str">
        <f t="shared" si="1"/>
        <v>Thu</v>
      </c>
      <c r="G28" s="5">
        <v>0.375</v>
      </c>
      <c r="H28" s="5">
        <v>0.41666666666666669</v>
      </c>
      <c r="I28" s="3" t="s">
        <v>25</v>
      </c>
      <c r="J28" s="6" t="s">
        <v>43</v>
      </c>
      <c r="K28" s="3" t="s">
        <v>15</v>
      </c>
    </row>
    <row r="29" spans="1:11" x14ac:dyDescent="0.2">
      <c r="A29" t="s">
        <v>77</v>
      </c>
      <c r="B29" s="3">
        <f t="shared" si="0"/>
        <v>25</v>
      </c>
      <c r="C29" s="10" t="s">
        <v>12</v>
      </c>
      <c r="D29" s="8" t="s">
        <v>52</v>
      </c>
      <c r="E29" s="4">
        <v>46170</v>
      </c>
      <c r="F29" s="3" t="str">
        <f t="shared" si="1"/>
        <v>Thu</v>
      </c>
      <c r="G29" s="5">
        <v>0.41666666666666669</v>
      </c>
      <c r="H29" s="5">
        <v>0.45833333333333331</v>
      </c>
      <c r="I29" s="3" t="s">
        <v>46</v>
      </c>
      <c r="J29" s="6" t="s">
        <v>44</v>
      </c>
      <c r="K29" s="3" t="s">
        <v>15</v>
      </c>
    </row>
    <row r="30" spans="1:11" x14ac:dyDescent="0.2">
      <c r="A30" t="s">
        <v>78</v>
      </c>
      <c r="B30" s="12">
        <f t="shared" si="0"/>
        <v>26</v>
      </c>
      <c r="C30" s="10" t="s">
        <v>12</v>
      </c>
      <c r="D30" s="8" t="s">
        <v>52</v>
      </c>
      <c r="E30" s="13">
        <v>46170</v>
      </c>
      <c r="F30" s="12" t="str">
        <f t="shared" si="1"/>
        <v>Thu</v>
      </c>
      <c r="G30" s="14">
        <v>0.45833333333333331</v>
      </c>
      <c r="H30" s="14">
        <v>0.5</v>
      </c>
      <c r="I30" s="12" t="s">
        <v>46</v>
      </c>
      <c r="J30" s="15" t="s">
        <v>45</v>
      </c>
      <c r="K30" s="11" t="s">
        <v>23</v>
      </c>
    </row>
  </sheetData>
  <mergeCells count="2">
    <mergeCell ref="B1:K1"/>
    <mergeCell ref="B2:K2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Endocrine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Ashley R Johnston</cp:lastModifiedBy>
  <dcterms:modified xsi:type="dcterms:W3CDTF">2026-04-17T21:43:49Z</dcterms:modified>
</cp:coreProperties>
</file>